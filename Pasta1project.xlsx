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80" yWindow="1160" windowWidth="27840" windowHeight="1616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2"/>
      <scheme val="minor"/>
    </font>
    <font>
      <name val="Aptos Display"/>
      <family val="2"/>
      <b val="1"/>
      <color theme="1"/>
      <sz val="14"/>
      <scheme val="major"/>
    </font>
    <font>
      <name val="Aptos Display"/>
      <family val="2"/>
      <color theme="1"/>
      <sz val="14"/>
      <scheme val="major"/>
    </font>
    <font>
      <name val="Aptos Display"/>
      <family val="2"/>
      <color rgb="FF000000"/>
      <sz val="14"/>
      <scheme val="major"/>
    </font>
    <font>
      <name val="Arial"/>
      <family val="2"/>
      <color theme="1"/>
      <sz val="14"/>
    </font>
    <font>
      <name val="Aptos Display"/>
      <family val="2"/>
      <b val="1"/>
      <color rgb="FF000000"/>
      <sz val="14"/>
      <scheme val="major"/>
    </font>
    <font>
      <name val="Aptos Display"/>
      <family val="2"/>
      <b val="1"/>
      <sz val="14"/>
      <scheme val="maj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1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0" fillId="0" borderId="3" pivotButton="0" quotePrefix="0" xfId="0"/>
    <xf numFmtId="0" fontId="2" fillId="0" borderId="2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tabSelected="1" workbookViewId="0">
      <selection activeCell="B10" sqref="B10"/>
    </sheetView>
  </sheetViews>
  <sheetFormatPr baseColWidth="10" defaultRowHeight="16"/>
  <cols>
    <col width="17.6640625" customWidth="1" min="2" max="2"/>
    <col width="21" customWidth="1" min="3" max="3"/>
    <col width="9.1640625" customWidth="1" min="4" max="4"/>
    <col width="6.5" customWidth="1" min="5" max="5"/>
    <col width="18.83203125" customWidth="1" min="7" max="7"/>
  </cols>
  <sheetData>
    <row r="1" ht="19" customHeight="1" thickBot="1">
      <c r="A1" s="1" t="inlineStr">
        <is>
          <t>SUPER 8</t>
        </is>
      </c>
      <c r="B1" s="1" t="inlineStr">
        <is>
          <t>NOMES</t>
        </is>
      </c>
      <c r="C1" s="2" t="n"/>
      <c r="D1" s="3" t="n"/>
      <c r="E1" s="3" t="n"/>
      <c r="F1" s="17" t="inlineStr">
        <is>
          <t>PARTIDAS</t>
        </is>
      </c>
      <c r="G1" s="18" t="n"/>
      <c r="H1" s="18" t="n"/>
      <c r="I1" s="18" t="n"/>
      <c r="J1" s="18" t="n"/>
      <c r="K1" s="18" t="n"/>
      <c r="L1" s="19" t="n"/>
    </row>
    <row r="2" ht="20" customHeight="1" thickBot="1">
      <c r="A2" s="1" t="inlineStr">
        <is>
          <t>ATLETAS</t>
        </is>
      </c>
      <c r="B2" s="4" t="n"/>
      <c r="C2" s="5" t="n"/>
      <c r="D2" s="6" t="n"/>
      <c r="E2" s="7">
        <f>IF(H2&gt;J2,1,-1)</f>
        <v/>
      </c>
      <c r="F2" s="1">
        <f>B3</f>
        <v/>
      </c>
      <c r="G2" s="1">
        <f>B10</f>
        <v/>
      </c>
      <c r="H2" s="1" t="n">
        <v>2</v>
      </c>
      <c r="I2" s="1" t="inlineStr">
        <is>
          <t>X</t>
        </is>
      </c>
      <c r="J2" s="1" t="n">
        <v>3</v>
      </c>
      <c r="K2" s="1">
        <f>B9</f>
        <v/>
      </c>
      <c r="L2" s="1">
        <f>B7</f>
        <v/>
      </c>
    </row>
    <row r="3" ht="20" customHeight="1" thickBot="1">
      <c r="A3" s="1" t="n">
        <v>1</v>
      </c>
      <c r="B3" s="1" t="inlineStr">
        <is>
          <t>a</t>
        </is>
      </c>
      <c r="C3" s="2" t="n"/>
      <c r="D3" s="6" t="n"/>
      <c r="E3" s="7">
        <f>IF(H3&gt;J3,1,-1)</f>
        <v/>
      </c>
      <c r="F3" s="8">
        <f>B6</f>
        <v/>
      </c>
      <c r="G3" s="1">
        <f>B4</f>
        <v/>
      </c>
      <c r="H3" s="1" t="n"/>
      <c r="I3" s="1" t="inlineStr">
        <is>
          <t>X</t>
        </is>
      </c>
      <c r="J3" s="1" t="n"/>
      <c r="K3" s="1">
        <f>B5</f>
        <v/>
      </c>
      <c r="L3" s="1">
        <f>B8</f>
        <v/>
      </c>
    </row>
    <row r="4" ht="20" customHeight="1" thickBot="1">
      <c r="A4" s="1" t="n">
        <v>2</v>
      </c>
      <c r="B4" s="1" t="inlineStr">
        <is>
          <t>a</t>
        </is>
      </c>
      <c r="C4" s="2" t="n"/>
      <c r="D4" s="6" t="n"/>
      <c r="E4" s="7">
        <f>IF(H4&gt;J4,1,-1)</f>
        <v/>
      </c>
      <c r="F4" s="1">
        <f>B3</f>
        <v/>
      </c>
      <c r="G4" s="9">
        <f>B9</f>
        <v/>
      </c>
      <c r="H4" s="1" t="n"/>
      <c r="I4" s="1" t="inlineStr">
        <is>
          <t>X</t>
        </is>
      </c>
      <c r="J4" s="1" t="n"/>
      <c r="K4" s="1">
        <f>B4</f>
        <v/>
      </c>
      <c r="L4" s="1">
        <f>B5</f>
        <v/>
      </c>
    </row>
    <row r="5" ht="20" customHeight="1" thickBot="1">
      <c r="A5" s="1" t="n">
        <v>3</v>
      </c>
      <c r="B5" s="1" t="inlineStr">
        <is>
          <t>a</t>
        </is>
      </c>
      <c r="C5" s="2" t="n"/>
      <c r="D5" s="6" t="n"/>
      <c r="E5" s="7">
        <f>IF(H5&gt;J5,1,-1)</f>
        <v/>
      </c>
      <c r="F5" s="1">
        <f>B10</f>
        <v/>
      </c>
      <c r="G5" s="9">
        <f>B7</f>
        <v/>
      </c>
      <c r="H5" s="1" t="n"/>
      <c r="I5" s="1" t="inlineStr">
        <is>
          <t>X</t>
        </is>
      </c>
      <c r="J5" s="1" t="n"/>
      <c r="K5" s="8">
        <f>B6</f>
        <v/>
      </c>
      <c r="L5" s="1">
        <f>B8</f>
        <v/>
      </c>
    </row>
    <row r="6" ht="20" customHeight="1" thickBot="1">
      <c r="A6" s="1" t="n">
        <v>4</v>
      </c>
      <c r="B6" s="1" t="inlineStr">
        <is>
          <t>a</t>
        </is>
      </c>
      <c r="C6" s="2" t="n"/>
      <c r="D6" s="6" t="n"/>
      <c r="E6" s="7">
        <f>IF(H6&gt;J6,1,-1)</f>
        <v/>
      </c>
      <c r="F6" s="1">
        <f>B3</f>
        <v/>
      </c>
      <c r="G6" s="9">
        <f>B5</f>
        <v/>
      </c>
      <c r="H6" s="1" t="n"/>
      <c r="I6" s="1" t="inlineStr">
        <is>
          <t>X</t>
        </is>
      </c>
      <c r="J6" s="1" t="n"/>
      <c r="K6" s="1">
        <f>B10</f>
        <v/>
      </c>
      <c r="L6" s="1">
        <f>B8</f>
        <v/>
      </c>
    </row>
    <row r="7" ht="20" customHeight="1" thickBot="1">
      <c r="A7" s="1" t="n">
        <v>5</v>
      </c>
      <c r="B7" s="1" t="inlineStr">
        <is>
          <t>a</t>
        </is>
      </c>
      <c r="C7" s="2" t="n"/>
      <c r="D7" s="6" t="n"/>
      <c r="E7" s="7">
        <f>IF(H7&gt;J7,1,-1)</f>
        <v/>
      </c>
      <c r="F7" s="1">
        <f>B9</f>
        <v/>
      </c>
      <c r="G7" s="9">
        <f>B4</f>
        <v/>
      </c>
      <c r="H7" s="1" t="n"/>
      <c r="I7" s="1" t="inlineStr">
        <is>
          <t>X</t>
        </is>
      </c>
      <c r="J7" s="1" t="n"/>
      <c r="K7" s="1">
        <f>B7</f>
        <v/>
      </c>
      <c r="L7" s="1">
        <f>B6</f>
        <v/>
      </c>
    </row>
    <row r="8" ht="20" customHeight="1" thickBot="1">
      <c r="A8" s="1" t="n">
        <v>6</v>
      </c>
      <c r="B8" s="1" t="inlineStr">
        <is>
          <t>a</t>
        </is>
      </c>
      <c r="C8" s="2" t="n"/>
      <c r="D8" s="6" t="n"/>
      <c r="E8" s="7">
        <f>IF(H8&gt;J8,1,-1)</f>
        <v/>
      </c>
      <c r="F8" s="1">
        <f>B3</f>
        <v/>
      </c>
      <c r="G8" s="9">
        <f>B7</f>
        <v/>
      </c>
      <c r="H8" s="1" t="n"/>
      <c r="I8" s="1" t="inlineStr">
        <is>
          <t>X</t>
        </is>
      </c>
      <c r="J8" s="1" t="n"/>
      <c r="K8" s="8">
        <f>B6</f>
        <v/>
      </c>
      <c r="L8" s="1">
        <f>B5</f>
        <v/>
      </c>
    </row>
    <row r="9" ht="20" customHeight="1" thickBot="1">
      <c r="A9" s="1" t="n">
        <v>7</v>
      </c>
      <c r="B9" s="1" t="inlineStr">
        <is>
          <t>a</t>
        </is>
      </c>
      <c r="C9" s="2" t="n"/>
      <c r="D9" s="6" t="n"/>
      <c r="E9" s="7">
        <f>IF(H9&gt;J9,1,-1)</f>
        <v/>
      </c>
      <c r="F9" s="1">
        <f>B10</f>
        <v/>
      </c>
      <c r="G9" s="9">
        <f>B9</f>
        <v/>
      </c>
      <c r="H9" s="1" t="n"/>
      <c r="I9" s="1" t="inlineStr">
        <is>
          <t>X</t>
        </is>
      </c>
      <c r="J9" s="1" t="n"/>
      <c r="K9" s="1">
        <f>B4</f>
        <v/>
      </c>
      <c r="L9" s="1">
        <f>B8</f>
        <v/>
      </c>
    </row>
    <row r="10" ht="20" customHeight="1" thickBot="1">
      <c r="A10" s="1" t="n">
        <v>8</v>
      </c>
      <c r="B10" s="1" t="inlineStr">
        <is>
          <t>a</t>
        </is>
      </c>
      <c r="C10" s="2" t="n"/>
      <c r="D10" s="6" t="n"/>
      <c r="E10" s="7">
        <f>IF(H10&gt;J10,1,-1)</f>
        <v/>
      </c>
      <c r="F10" s="1">
        <f>B3</f>
        <v/>
      </c>
      <c r="G10" s="9">
        <f>B4</f>
        <v/>
      </c>
      <c r="H10" s="1" t="n"/>
      <c r="I10" s="1" t="inlineStr">
        <is>
          <t>X</t>
        </is>
      </c>
      <c r="J10" s="1" t="n"/>
      <c r="K10" s="1">
        <f>B10</f>
        <v/>
      </c>
      <c r="L10" s="1">
        <f>B6</f>
        <v/>
      </c>
    </row>
    <row r="11" ht="20" customHeight="1" thickBot="1">
      <c r="A11" s="6" t="n"/>
      <c r="B11" s="6" t="n"/>
      <c r="C11" s="6" t="n"/>
      <c r="D11" s="6" t="n"/>
      <c r="E11" s="7">
        <f>IF(H11&gt;J11,1,-1)</f>
        <v/>
      </c>
      <c r="F11" s="1">
        <f>B9</f>
        <v/>
      </c>
      <c r="G11" s="9">
        <f>B5</f>
        <v/>
      </c>
      <c r="H11" s="1" t="n"/>
      <c r="I11" s="1" t="inlineStr">
        <is>
          <t>X</t>
        </is>
      </c>
      <c r="J11" s="1" t="n"/>
      <c r="K11" s="1">
        <f>B7</f>
        <v/>
      </c>
      <c r="L11" s="1">
        <f>B8</f>
        <v/>
      </c>
    </row>
    <row r="12" ht="20" customHeight="1" thickBot="1">
      <c r="A12" s="6" t="n"/>
      <c r="B12" s="6" t="n"/>
      <c r="C12" s="6" t="n"/>
      <c r="D12" s="6" t="n"/>
      <c r="E12" s="7">
        <f>IF(H12&gt;J12,1,-1)</f>
        <v/>
      </c>
      <c r="F12" s="1">
        <f>B3</f>
        <v/>
      </c>
      <c r="G12" s="10">
        <f>B6</f>
        <v/>
      </c>
      <c r="H12" s="1" t="n"/>
      <c r="I12" s="1" t="inlineStr">
        <is>
          <t>X</t>
        </is>
      </c>
      <c r="J12" s="1" t="n"/>
      <c r="K12" s="1">
        <f>B9</f>
        <v/>
      </c>
      <c r="L12" s="1">
        <f>B8</f>
        <v/>
      </c>
    </row>
    <row r="13" ht="20" customHeight="1" thickBot="1">
      <c r="A13" s="6" t="n"/>
      <c r="B13" s="6" t="n"/>
      <c r="C13" s="6" t="n"/>
      <c r="D13" s="6" t="n"/>
      <c r="E13" s="7">
        <f>IF(H13&gt;J13,1,-1)</f>
        <v/>
      </c>
      <c r="F13" s="1">
        <f>B10</f>
        <v/>
      </c>
      <c r="G13" s="9">
        <f>B4</f>
        <v/>
      </c>
      <c r="H13" s="1" t="n"/>
      <c r="I13" s="1" t="inlineStr">
        <is>
          <t>X</t>
        </is>
      </c>
      <c r="J13" s="1" t="n"/>
      <c r="K13" s="1">
        <f>B7</f>
        <v/>
      </c>
      <c r="L13" s="1">
        <f>B5</f>
        <v/>
      </c>
    </row>
    <row r="14" ht="20" customHeight="1" thickBot="1">
      <c r="A14" s="11" t="n"/>
      <c r="B14" s="11" t="n"/>
      <c r="C14" s="11" t="n"/>
      <c r="D14" s="6" t="n"/>
      <c r="E14" s="7">
        <f>IF(H14&gt;J14,1,-1)</f>
        <v/>
      </c>
      <c r="F14" s="1">
        <f>B10</f>
        <v/>
      </c>
      <c r="G14" s="9">
        <f>B5</f>
        <v/>
      </c>
      <c r="H14" s="1" t="n"/>
      <c r="I14" s="1" t="inlineStr">
        <is>
          <t>X</t>
        </is>
      </c>
      <c r="J14" s="1" t="n"/>
      <c r="K14" s="1">
        <f>B9</f>
        <v/>
      </c>
      <c r="L14" s="8">
        <f>B6</f>
        <v/>
      </c>
    </row>
    <row r="15" ht="20" customHeight="1" thickBot="1">
      <c r="A15" s="11" t="n"/>
      <c r="B15" s="11" t="n"/>
      <c r="C15" s="11" t="n"/>
      <c r="D15" s="6" t="n"/>
      <c r="E15" s="7">
        <f>IF(H15&gt;J15,1,-1)</f>
        <v/>
      </c>
      <c r="F15" s="1">
        <f>B3</f>
        <v/>
      </c>
      <c r="G15" s="9">
        <f>B8</f>
        <v/>
      </c>
      <c r="H15" s="1" t="n"/>
      <c r="I15" s="1" t="inlineStr">
        <is>
          <t>X</t>
        </is>
      </c>
      <c r="J15" s="1" t="n"/>
      <c r="K15" s="1">
        <f>B7</f>
        <v/>
      </c>
      <c r="L15" s="1">
        <f>B4</f>
        <v/>
      </c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8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15" t="inlineStr">
        <is>
          <t>DESEMPATE</t>
        </is>
      </c>
      <c r="K18" s="16" t="n"/>
      <c r="L18" s="6" t="n"/>
    </row>
    <row r="19" ht="18" customHeight="1">
      <c r="A19" s="12" t="inlineStr">
        <is>
          <t>ATLETAS</t>
        </is>
      </c>
      <c r="B19" s="12" t="inlineStr">
        <is>
          <t>GAMES PRO</t>
        </is>
      </c>
      <c r="C19" s="13" t="inlineStr">
        <is>
          <t>GAMES CONTRA</t>
        </is>
      </c>
      <c r="D19" s="12" t="inlineStr">
        <is>
          <t>SALDO</t>
        </is>
      </c>
      <c r="E19" s="12" t="n"/>
      <c r="F19" s="13">
        <f>A19</f>
        <v/>
      </c>
      <c r="G19" s="14" t="inlineStr">
        <is>
          <t>CLASSIFICAÇÃO</t>
        </is>
      </c>
      <c r="H19" s="6" t="n"/>
      <c r="I19" s="6" t="n"/>
      <c r="J19" s="12" t="inlineStr">
        <is>
          <t>ATLETAS</t>
        </is>
      </c>
      <c r="K19" s="12" t="inlineStr">
        <is>
          <t>VITÓRIAS</t>
        </is>
      </c>
      <c r="L19" s="6" t="n"/>
    </row>
    <row r="20" ht="18" customHeight="1">
      <c r="A20" s="12">
        <f>B3</f>
        <v/>
      </c>
      <c r="B20" s="12">
        <f>SUM(H2,H4,H6,H8,H10,H12,H15)</f>
        <v/>
      </c>
      <c r="C20" s="13">
        <f>J2+J6+J8+J10+J12+J15+J4</f>
        <v/>
      </c>
      <c r="D20" s="12">
        <f>B20-C20</f>
        <v/>
      </c>
      <c r="E20" s="12" t="n"/>
      <c r="F20" s="13">
        <f>A20</f>
        <v/>
      </c>
      <c r="G20" s="12">
        <f>_xlfn.RANK.EQ(D20,$D$20:$D$27,0)</f>
        <v/>
      </c>
      <c r="H20" s="6" t="n"/>
      <c r="I20" s="6" t="n"/>
      <c r="J20" s="13">
        <f>B3</f>
        <v/>
      </c>
      <c r="K20" s="12">
        <f>IF(E2&gt;0,1,0)+IF(E4&gt;0,1,0)+IF(E6&gt;0,1,0)+IF(E8&gt;0,1,0)+IF(E10&gt;0,1,0)+IF(E12&gt;0,1,0)+IF(E15&gt;0,1,0)</f>
        <v/>
      </c>
      <c r="L20" s="6" t="n"/>
    </row>
    <row r="21" ht="18" customHeight="1">
      <c r="A21" s="12">
        <f>B4</f>
        <v/>
      </c>
      <c r="B21" s="12">
        <f>SUM(H3,J4,H7,J9,H10,H13,J15)</f>
        <v/>
      </c>
      <c r="C21" s="13">
        <f>J3+H4+J7+H9+J10+J13+H15</f>
        <v/>
      </c>
      <c r="D21" s="12">
        <f>B21-C21</f>
        <v/>
      </c>
      <c r="E21" s="12" t="n"/>
      <c r="F21" s="13">
        <f>A21</f>
        <v/>
      </c>
      <c r="G21" s="12">
        <f>_xlfn.RANK.EQ(D21,$D$20:$D$27,0)</f>
        <v/>
      </c>
      <c r="H21" s="6" t="n"/>
      <c r="I21" s="6" t="n"/>
      <c r="J21" s="13">
        <f>B4</f>
        <v/>
      </c>
      <c r="K21" s="12">
        <f>IF(E3&gt;0,1,0)+IF(M4&gt;0,1,0)+IF(E7&gt;0,1,0)+IF(M9&gt;0,1,0)+IF(E10&gt;0,1,0)+IF(E13&gt;0,1,0)+IF(M15&gt;0,1,0)</f>
        <v/>
      </c>
      <c r="L21" s="6" t="n"/>
    </row>
    <row r="22" ht="18" customHeight="1">
      <c r="A22" s="12">
        <f>B5</f>
        <v/>
      </c>
      <c r="B22" s="12">
        <f>SUM(J3,J4,H6,J8,H11,J13,H14)</f>
        <v/>
      </c>
      <c r="C22" s="13">
        <f>H3+J6+H8+J11+H13+J14+H4</f>
        <v/>
      </c>
      <c r="D22" s="12">
        <f>B22-C22</f>
        <v/>
      </c>
      <c r="E22" s="12" t="n"/>
      <c r="F22" s="13">
        <f>A22</f>
        <v/>
      </c>
      <c r="G22" s="12">
        <f>_xlfn.RANK.EQ(D22,$D$20:$D$27,0)</f>
        <v/>
      </c>
      <c r="H22" s="6" t="n"/>
      <c r="I22" s="6" t="n"/>
      <c r="J22" s="13">
        <f>B5</f>
        <v/>
      </c>
      <c r="K22" s="12">
        <f>IF(M3&gt;0,1,0)+IF(M4&gt;0,1,0)+IF(E6&gt;0,1,0)+IF(M8&gt;0,1,0)+IF(E11&gt;0,1,0)+IF(M13&gt;0,1,0)+IF(E14&gt;0,1,0)</f>
        <v/>
      </c>
      <c r="L22" s="6" t="n"/>
    </row>
    <row r="23" ht="18" customHeight="1">
      <c r="A23" s="12">
        <f>B6</f>
        <v/>
      </c>
      <c r="B23" s="12">
        <f>SUM(H3,J5,J8,J7,J10,H12,J14)</f>
        <v/>
      </c>
      <c r="C23" s="13">
        <f>J3+H5+H7+H8+H10+J12+H14</f>
        <v/>
      </c>
      <c r="D23" s="12">
        <f>B23-C23</f>
        <v/>
      </c>
      <c r="E23" s="12" t="n"/>
      <c r="F23" s="13">
        <f>A23</f>
        <v/>
      </c>
      <c r="G23" s="12">
        <f>_xlfn.RANK.EQ(D23,$D$20:$D$27,0)</f>
        <v/>
      </c>
      <c r="H23" s="6" t="n"/>
      <c r="I23" s="6" t="n"/>
      <c r="J23" s="13">
        <f>B6</f>
        <v/>
      </c>
      <c r="K23" s="12">
        <f>IF(E3&gt;0,1,0)+IF(M5&gt;0,1,0)+IF(M7&gt;0,1,0)+IF(M8&gt;0,1,0)+IF(M10&gt;0,1,0)+IF(E12&gt;0,1,0)+IF(M14&gt;0,1,0)</f>
        <v/>
      </c>
      <c r="L23" s="6" t="n"/>
    </row>
    <row r="24" ht="18" customHeight="1">
      <c r="A24" s="12">
        <f>B7</f>
        <v/>
      </c>
      <c r="B24" s="12">
        <f>SUM(J2,H5,J7,H8,J11,J13,J15)</f>
        <v/>
      </c>
      <c r="C24" s="13">
        <f>H2+J5+H7+J8+H11+H13+H15</f>
        <v/>
      </c>
      <c r="D24" s="12">
        <f>B24-C24</f>
        <v/>
      </c>
      <c r="E24" s="12" t="n"/>
      <c r="F24" s="13">
        <f>A24</f>
        <v/>
      </c>
      <c r="G24" s="12">
        <f>_xlfn.RANK.EQ(D24,$D$20:$D$27,0)</f>
        <v/>
      </c>
      <c r="H24" s="6" t="n"/>
      <c r="I24" s="6" t="n"/>
      <c r="J24" s="13">
        <f>B7</f>
        <v/>
      </c>
      <c r="K24" s="12">
        <f>IF(M2&gt;0,1,0)+IF(E5&gt;0,1,0)+IF(M7&gt;0,1,0)+IF(E8&gt;0,1,0)+IF(M11&gt;0,1,0)+IF(M13&gt;0,1,0)+IF(M14&gt;0,1,0)</f>
        <v/>
      </c>
      <c r="L24" s="6" t="n"/>
    </row>
    <row r="25" ht="18" customHeight="1">
      <c r="A25" s="12">
        <f>B8</f>
        <v/>
      </c>
      <c r="B25" s="12">
        <f>SUM(J3,J5,J6,J9,J11,J12,H15)</f>
        <v/>
      </c>
      <c r="C25" s="13">
        <f>H3+H5+H6+H9+H11+H12+J15</f>
        <v/>
      </c>
      <c r="D25" s="12">
        <f>B25-C25</f>
        <v/>
      </c>
      <c r="E25" s="12" t="n"/>
      <c r="F25" s="13">
        <f>A25</f>
        <v/>
      </c>
      <c r="G25" s="12">
        <f>_xlfn.RANK.EQ(D25,$D$20:$D$27,0)</f>
        <v/>
      </c>
      <c r="H25" s="6" t="n"/>
      <c r="I25" s="6" t="n"/>
      <c r="J25" s="13">
        <f>B8</f>
        <v/>
      </c>
      <c r="K25" s="12">
        <f>IF(M3&gt;0,1,0)+IF(M5&gt;0,1,0)+IF(M6&gt;0,1,0)+IF(M9&gt;0,1,0)+IF(M11&gt;0,1,0)+IF(M12&gt;0,1,0)+IF(E15&gt;0,1,0)</f>
        <v/>
      </c>
      <c r="L25" s="6" t="n"/>
    </row>
    <row r="26" ht="18" customHeight="1">
      <c r="A26" s="12">
        <f>B9</f>
        <v/>
      </c>
      <c r="B26" s="12">
        <f>SUM(J2,H4,H7,H9,J12,J14,H11)</f>
        <v/>
      </c>
      <c r="C26" s="13">
        <f>H2+J4+J7+J9+J11+H12+H14</f>
        <v/>
      </c>
      <c r="D26" s="12">
        <f>B26-C26</f>
        <v/>
      </c>
      <c r="E26" s="12" t="n"/>
      <c r="F26" s="13">
        <f>A26</f>
        <v/>
      </c>
      <c r="G26" s="12">
        <f>_xlfn.RANK.EQ(D26,$D$20:$D$27,0)</f>
        <v/>
      </c>
      <c r="H26" s="6" t="n"/>
      <c r="I26" s="6" t="n"/>
      <c r="J26" s="13">
        <f>B9</f>
        <v/>
      </c>
      <c r="K26" s="12">
        <f>IF(M2&gt;0,1,0)+IF(E4&gt;0,1,0)+IF(E7&gt;0,1,0)+IF(E9&gt;0,1,0)+IF(E11&gt;0,1,0)+IF(M12&gt;0,1,0)+IF(M14&gt;0,1,0)</f>
        <v/>
      </c>
      <c r="L26" s="6" t="n"/>
    </row>
    <row r="27" ht="18" customHeight="1">
      <c r="A27" s="12">
        <f>B10</f>
        <v/>
      </c>
      <c r="B27" s="12">
        <f>SUM(H2,J6,H5,H9,J10,H14,H13)</f>
        <v/>
      </c>
      <c r="C27" s="13">
        <f>J2+J5+H6+J9+H10+J13+J14</f>
        <v/>
      </c>
      <c r="D27" s="12">
        <f>B27-C27</f>
        <v/>
      </c>
      <c r="E27" s="12" t="n"/>
      <c r="F27" s="13">
        <f>A27</f>
        <v/>
      </c>
      <c r="G27" s="12">
        <f>_xlfn.RANK.EQ(D27,$D$20:$D$27,0)</f>
        <v/>
      </c>
      <c r="H27" s="6" t="n"/>
      <c r="I27" s="6" t="n"/>
      <c r="J27" s="13">
        <f>B10</f>
        <v/>
      </c>
      <c r="K27" s="12">
        <f>IF(E2&gt;0,1,0)+IF(E5&gt;0,1,0)+IF(M6&gt;0,1,0)+IF(E9&gt;0,1,0)+IF(M10&gt;0,1,0)+IF(E13&gt;0,1,0)+IF(E14&gt;0,1,0)</f>
        <v/>
      </c>
      <c r="L27" s="6" t="n"/>
    </row>
    <row r="28" ht="18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6" t="n"/>
      <c r="L28" s="6" t="n"/>
    </row>
    <row r="29" ht="18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 ht="18" customHeight="1">
      <c r="A30" s="11" t="n"/>
      <c r="B30" s="11" t="n"/>
      <c r="C30" s="11" t="n"/>
      <c r="D30" s="11" t="n"/>
      <c r="E30" s="11" t="n"/>
      <c r="F30" s="11" t="n"/>
      <c r="G30" s="6" t="n"/>
      <c r="H30" s="6" t="n"/>
      <c r="I30" s="11" t="n"/>
      <c r="J30" s="11" t="n"/>
      <c r="K30" s="11" t="n"/>
      <c r="L30" s="11" t="n"/>
    </row>
    <row r="31" ht="18" customHeight="1">
      <c r="A31" s="11" t="n"/>
      <c r="B31" s="11" t="n"/>
      <c r="C31" s="11" t="n"/>
      <c r="D31" s="11" t="n"/>
      <c r="E31" s="11" t="n"/>
      <c r="F31" s="11" t="n"/>
      <c r="G31" s="6" t="n"/>
      <c r="H31" s="6" t="n"/>
      <c r="I31" s="11" t="n"/>
      <c r="J31" s="11" t="n"/>
      <c r="K31" s="6" t="n"/>
      <c r="L31" s="6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 ht="18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 ht="18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 ht="18" customHeight="1">
      <c r="A36" s="12" t="inlineStr">
        <is>
          <t>ATLETA</t>
        </is>
      </c>
      <c r="B36" s="12" t="inlineStr">
        <is>
          <t>POSIÇÃO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 ht="18" customHeight="1">
      <c r="A37" s="12">
        <f t="array" ref="A37:B44">_xlfn._xlws.SORT(F20:G27,{2.1},1)</f>
        <v/>
      </c>
      <c r="B37" s="12" t="n">
        <v>1</v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 ht="18" customHeight="1">
      <c r="A38" s="12" t="n">
        <v>0</v>
      </c>
      <c r="B38" s="12" t="n">
        <v>1</v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 ht="18" customHeight="1">
      <c r="A39" s="12" t="n">
        <v>0</v>
      </c>
      <c r="B39" s="12" t="n">
        <v>3</v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 ht="18" customHeight="1">
      <c r="A40" s="12" t="n">
        <v>0</v>
      </c>
      <c r="B40" s="12" t="n">
        <v>3</v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 ht="18" customHeight="1">
      <c r="A41" s="12" t="n">
        <v>0</v>
      </c>
      <c r="B41" s="12" t="n">
        <v>3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 ht="18" customHeight="1">
      <c r="A42" s="12" t="n">
        <v>0</v>
      </c>
      <c r="B42" s="12" t="n">
        <v>3</v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 ht="18" customHeight="1">
      <c r="A43" s="12" t="n">
        <v>0</v>
      </c>
      <c r="B43" s="12" t="n">
        <v>7</v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 ht="18" customHeight="1">
      <c r="A44" s="12" t="n">
        <v>0</v>
      </c>
      <c r="B44" s="12" t="n">
        <v>7</v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</sheetData>
  <mergeCells count="2">
    <mergeCell ref="J18:K18"/>
    <mergeCell ref="F1:L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 Marschal Vieira</dc:creator>
  <dcterms:created xsi:type="dcterms:W3CDTF">2026-03-10T21:55:01Z</dcterms:created>
  <dcterms:modified xsi:type="dcterms:W3CDTF">2026-03-16T17:46:40Z</dcterms:modified>
  <cp:lastModifiedBy>Andre Marschal Vieira</cp:lastModifiedBy>
</cp:coreProperties>
</file>